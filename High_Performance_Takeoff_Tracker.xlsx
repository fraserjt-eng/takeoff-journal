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ily Journal" sheetId="2" state="visible" r:id="rId2"/>
    <sheet xmlns:r="http://schemas.openxmlformats.org/officeDocument/2006/relationships" name="Performance Analytics" sheetId="3" state="visible" r:id="rId3"/>
    <sheet xmlns:r="http://schemas.openxmlformats.org/officeDocument/2006/relationships" name="AI Insights" sheetId="4" state="visible" r:id="rId4"/>
    <sheet xmlns:r="http://schemas.openxmlformats.org/officeDocument/2006/relationships" name="Vision Board Tracker" sheetId="5" state="visible" r:id="rId5"/>
    <sheet xmlns:r="http://schemas.openxmlformats.org/officeDocument/2006/relationships" name="Weekly Review" sheetId="6" state="visible" r:id="rId6"/>
    <sheet xmlns:r="http://schemas.openxmlformats.org/officeDocument/2006/relationships" name="Monthly Review" sheetId="7" state="visible" r:id="rId7"/>
    <sheet xmlns:r="http://schemas.openxmlformats.org/officeDocument/2006/relationships" name="Settings &amp;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D4A853"/>
      <sz val="20"/>
    </font>
    <font>
      <name val="Arial"/>
      <color rgb="0094A3B8"/>
      <sz val="12"/>
    </font>
    <font>
      <name val="Arial"/>
      <color rgb="00FFFFFF"/>
      <sz val="11"/>
    </font>
    <font>
      <name val="Arial"/>
      <b val="1"/>
      <color rgb="00D4A853"/>
      <sz val="14"/>
    </font>
    <font>
      <name val="Arial"/>
      <b val="1"/>
      <color rgb="00D4A853"/>
      <sz val="11"/>
    </font>
    <font>
      <name val="Arial"/>
      <b val="1"/>
      <color rgb="0014B8A6"/>
      <sz val="10"/>
    </font>
    <font>
      <name val="Arial"/>
      <b val="1"/>
      <color rgb="0014B8A6"/>
      <sz val="11"/>
    </font>
    <font>
      <name val="Arial"/>
      <b val="1"/>
      <color rgb="00F97316"/>
      <sz val="11"/>
    </font>
    <font>
      <name val="Arial"/>
      <b val="1"/>
      <color rgb="008B5CF6"/>
      <sz val="11"/>
    </font>
    <font>
      <name val="Arial"/>
      <b val="1"/>
      <color rgb="00EC4899"/>
      <sz val="11"/>
    </font>
    <font>
      <name val="Arial"/>
      <b val="1"/>
      <color rgb="0006B6D4"/>
      <sz val="11"/>
    </font>
    <font>
      <name val="Arial"/>
      <color rgb="00D4A853"/>
      <sz val="11"/>
    </font>
    <font>
      <name val="Arial"/>
      <b val="1"/>
      <color rgb="00EF4444"/>
      <sz val="11"/>
    </font>
    <font>
      <name val="Arial"/>
      <b val="1"/>
      <color rgb="00EAB308"/>
      <sz val="11"/>
    </font>
    <font>
      <name val="Arial"/>
      <b val="1"/>
      <color rgb="0022C55E"/>
      <sz val="11"/>
    </font>
  </fonts>
  <fills count="4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1A2940"/>
        <bgColor rgb="001A29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5" customWidth="1" min="5" max="5"/>
    <col width="25" customWidth="1" min="6" max="6"/>
    <col width="4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HIGH PERFORMANCE TAKEOFF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"The becoming is the point." - J. Fraser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4" t="inlineStr">
        <is>
          <t>Date: January 05, 2026</t>
        </is>
      </c>
      <c r="C4" s="4" t="inlineStr">
        <is>
          <t>Week: 2</t>
        </is>
      </c>
      <c r="D4" s="4" t="inlineStr">
        <is>
          <t>Q1</t>
        </is>
      </c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5" t="inlineStr">
        <is>
          <t>PERFORMANCE SNAPSHOT</t>
        </is>
      </c>
      <c r="C6" s="1" t="n"/>
      <c r="D6" s="1" t="n"/>
      <c r="E6" s="1" t="n"/>
      <c r="F6" s="5" t="inlineStr">
        <is>
          <t>AI INSIGHTS &amp; RECOMMENDATIONS</t>
        </is>
      </c>
      <c r="G6" s="1" t="n"/>
      <c r="H6" s="1" t="n"/>
      <c r="I6" s="1" t="n"/>
      <c r="J6" s="1" t="n"/>
    </row>
    <row r="7">
      <c r="A7" s="1" t="n"/>
      <c r="B7" s="4" t="inlineStr">
        <is>
          <t>Daily Performance Score</t>
        </is>
      </c>
      <c r="C7" s="6">
        <f>'Performance Analytics'!C5</f>
        <v/>
      </c>
      <c r="D7" s="4" t="inlineStr">
        <is>
          <t>%</t>
        </is>
      </c>
      <c r="E7" s="1" t="n"/>
      <c r="F7" s="4" t="inlineStr">
        <is>
          <t>1.</t>
        </is>
      </c>
      <c r="G7" s="4" t="inlineStr">
        <is>
          <t>Performance Optimization: Review and apply insights from 'AI Insights' tab</t>
        </is>
      </c>
      <c r="H7" s="1" t="n"/>
      <c r="I7" s="1" t="n"/>
      <c r="J7" s="1" t="n"/>
    </row>
    <row r="8">
      <c r="A8" s="1" t="n"/>
      <c r="B8" s="4" t="inlineStr">
        <is>
          <t>Energy Level</t>
        </is>
      </c>
      <c r="C8" s="6">
        <f>'Daily Journal'!AA2</f>
        <v/>
      </c>
      <c r="D8" s="4" t="inlineStr">
        <is>
          <t>/10</t>
        </is>
      </c>
      <c r="E8" s="1" t="n"/>
      <c r="F8" s="4" t="inlineStr">
        <is>
          <t>2.</t>
        </is>
      </c>
      <c r="G8" s="4" t="inlineStr">
        <is>
          <t>Energy Management: Track patterns in your energy scores</t>
        </is>
      </c>
      <c r="H8" s="1" t="n"/>
      <c r="I8" s="1" t="n"/>
      <c r="J8" s="1" t="n"/>
    </row>
    <row r="9">
      <c r="A9" s="1" t="n"/>
      <c r="B9" s="4" t="inlineStr">
        <is>
          <t>Weekly Goals Progress</t>
        </is>
      </c>
      <c r="C9" s="6">
        <f>COUNTIF('Daily Journal'!AF2:AF8,"Y")/7*100</f>
        <v/>
      </c>
      <c r="D9" s="4" t="inlineStr">
        <is>
          <t>%</t>
        </is>
      </c>
      <c r="E9" s="1" t="n"/>
      <c r="F9" s="4" t="inlineStr">
        <is>
          <t>3.</t>
        </is>
      </c>
      <c r="G9" s="4" t="inlineStr">
        <is>
          <t>Focus Areas: Identify lowest-scoring habits for improvement</t>
        </is>
      </c>
      <c r="H9" s="1" t="n"/>
      <c r="I9" s="1" t="n"/>
      <c r="J9" s="1" t="n"/>
    </row>
    <row r="10">
      <c r="A10" s="1" t="n"/>
      <c r="B10" s="4" t="inlineStr">
        <is>
          <t>Leadership Impact</t>
        </is>
      </c>
      <c r="C10" s="6">
        <f>'Daily Journal'!AD2</f>
        <v/>
      </c>
      <c r="D10" s="4" t="inlineStr">
        <is>
          <t>/10</t>
        </is>
      </c>
      <c r="E10" s="1" t="n"/>
      <c r="F10" s="4" t="inlineStr">
        <is>
          <t>4.</t>
        </is>
      </c>
      <c r="G10" s="4" t="inlineStr">
        <is>
          <t>Consistency Check: Maintain daily journal entries for best insights</t>
        </is>
      </c>
      <c r="H10" s="1" t="n"/>
      <c r="I10" s="1" t="n"/>
      <c r="J10" s="1" t="n"/>
    </row>
    <row r="11">
      <c r="A11" s="1" t="n"/>
      <c r="B11" s="4" t="inlineStr">
        <is>
          <t>Work-Life Balance</t>
        </is>
      </c>
      <c r="C11" s="6">
        <f>(100-ABS('Daily Journal'!AS2-70))</f>
        <v/>
      </c>
      <c r="D11" s="4" t="inlineStr">
        <is>
          <t>%</t>
        </is>
      </c>
      <c r="E11" s="1" t="n"/>
      <c r="F11" s="4" t="inlineStr">
        <is>
          <t>5.</t>
        </is>
      </c>
      <c r="G11" s="4" t="inlineStr">
        <is>
          <t>Weekly Review: Complete Sunday reviews for pattern recognition</t>
        </is>
      </c>
      <c r="H11" s="1" t="n"/>
      <c r="I11" s="1" t="n"/>
      <c r="J11" s="1" t="n"/>
    </row>
    <row r="12">
      <c r="A12" s="1" t="n"/>
      <c r="B12" s="4" t="inlineStr">
        <is>
          <t>Trend</t>
        </is>
      </c>
      <c r="C12" s="6">
        <f>IF('Performance Analytics'!C5&gt;'Performance Analytics'!C6,"Rising",IF('Performance Analytics'!C5&lt;'Performance Analytics'!C6,"Falling","Stable"))</f>
        <v/>
      </c>
      <c r="D12" s="4" t="inlineStr"/>
      <c r="E12" s="1" t="n"/>
      <c r="F12" s="4" t="inlineStr">
        <is>
          <t>6.</t>
        </is>
      </c>
      <c r="G12" s="4" t="inlineStr">
        <is>
          <t>Path Balance: Monitor 70/30 split between Path A and Path B</t>
        </is>
      </c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5" t="inlineStr">
        <is>
          <t>WEEKLY HABIT SCORES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7" t="inlineStr">
        <is>
          <t>Mon</t>
        </is>
      </c>
      <c r="D16" s="7" t="inlineStr">
        <is>
          <t>Tue</t>
        </is>
      </c>
      <c r="E16" s="7" t="inlineStr">
        <is>
          <t>Wed</t>
        </is>
      </c>
      <c r="F16" s="7" t="inlineStr">
        <is>
          <t>Thu</t>
        </is>
      </c>
      <c r="G16" s="7" t="inlineStr">
        <is>
          <t>Fri</t>
        </is>
      </c>
      <c r="H16" s="7" t="inlineStr">
        <is>
          <t>Sat</t>
        </is>
      </c>
      <c r="I16" s="7" t="inlineStr">
        <is>
          <t>Sun</t>
        </is>
      </c>
      <c r="J16" s="1" t="n"/>
    </row>
    <row r="17">
      <c r="A17" s="1" t="n"/>
      <c r="B17" s="4" t="inlineStr">
        <is>
          <t>Clarity</t>
        </is>
      </c>
      <c r="C17" s="4" t="n">
        <v>5</v>
      </c>
      <c r="D17" s="4" t="n">
        <v>5</v>
      </c>
      <c r="E17" s="4" t="n">
        <v>5</v>
      </c>
      <c r="F17" s="4" t="n">
        <v>5</v>
      </c>
      <c r="G17" s="4" t="n">
        <v>5</v>
      </c>
      <c r="H17" s="4" t="n">
        <v>5</v>
      </c>
      <c r="I17" s="4" t="n">
        <v>5</v>
      </c>
      <c r="J17" s="1" t="n"/>
    </row>
    <row r="18">
      <c r="A18" s="1" t="n"/>
      <c r="B18" s="4" t="inlineStr">
        <is>
          <t>Energy</t>
        </is>
      </c>
      <c r="C18" s="4" t="n">
        <v>5</v>
      </c>
      <c r="D18" s="4" t="n">
        <v>5</v>
      </c>
      <c r="E18" s="4" t="n">
        <v>5</v>
      </c>
      <c r="F18" s="4" t="n">
        <v>5</v>
      </c>
      <c r="G18" s="4" t="n">
        <v>5</v>
      </c>
      <c r="H18" s="4" t="n">
        <v>5</v>
      </c>
      <c r="I18" s="4" t="n">
        <v>5</v>
      </c>
      <c r="J18" s="1" t="n"/>
    </row>
    <row r="19">
      <c r="A19" s="1" t="n"/>
      <c r="B19" s="4" t="inlineStr">
        <is>
          <t>Necessity</t>
        </is>
      </c>
      <c r="C19" s="4" t="n">
        <v>5</v>
      </c>
      <c r="D19" s="4" t="n">
        <v>5</v>
      </c>
      <c r="E19" s="4" t="n">
        <v>5</v>
      </c>
      <c r="F19" s="4" t="n">
        <v>5</v>
      </c>
      <c r="G19" s="4" t="n">
        <v>5</v>
      </c>
      <c r="H19" s="4" t="n">
        <v>5</v>
      </c>
      <c r="I19" s="4" t="n">
        <v>5</v>
      </c>
      <c r="J19" s="1" t="n"/>
    </row>
    <row r="20">
      <c r="A20" s="1" t="n"/>
      <c r="B20" s="4" t="inlineStr">
        <is>
          <t>Productivity</t>
        </is>
      </c>
      <c r="C20" s="4" t="n">
        <v>5</v>
      </c>
      <c r="D20" s="4" t="n">
        <v>5</v>
      </c>
      <c r="E20" s="4" t="n">
        <v>5</v>
      </c>
      <c r="F20" s="4" t="n">
        <v>5</v>
      </c>
      <c r="G20" s="4" t="n">
        <v>5</v>
      </c>
      <c r="H20" s="4" t="n">
        <v>5</v>
      </c>
      <c r="I20" s="4" t="n">
        <v>5</v>
      </c>
      <c r="J20" s="1" t="n"/>
    </row>
    <row r="21">
      <c r="A21" s="1" t="n"/>
      <c r="B21" s="4" t="inlineStr">
        <is>
          <t>Influence</t>
        </is>
      </c>
      <c r="C21" s="4" t="n">
        <v>5</v>
      </c>
      <c r="D21" s="4" t="n">
        <v>5</v>
      </c>
      <c r="E21" s="4" t="n">
        <v>5</v>
      </c>
      <c r="F21" s="4" t="n">
        <v>5</v>
      </c>
      <c r="G21" s="4" t="n">
        <v>5</v>
      </c>
      <c r="H21" s="4" t="n">
        <v>5</v>
      </c>
      <c r="I21" s="4" t="n">
        <v>5</v>
      </c>
      <c r="J21" s="1" t="n"/>
    </row>
    <row r="22">
      <c r="A22" s="1" t="n"/>
      <c r="B22" s="4" t="inlineStr">
        <is>
          <t>Courage</t>
        </is>
      </c>
      <c r="C22" s="4" t="n">
        <v>5</v>
      </c>
      <c r="D22" s="4" t="n">
        <v>5</v>
      </c>
      <c r="E22" s="4" t="n">
        <v>5</v>
      </c>
      <c r="F22" s="4" t="n">
        <v>5</v>
      </c>
      <c r="G22" s="4" t="n">
        <v>5</v>
      </c>
      <c r="H22" s="4" t="n">
        <v>5</v>
      </c>
      <c r="I22" s="4" t="n">
        <v>5</v>
      </c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</sheetData>
  <mergeCells count="4">
    <mergeCell ref="B6:D6"/>
    <mergeCell ref="B3:D3"/>
    <mergeCell ref="F6:G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40" customWidth="1" min="5" max="5"/>
    <col width="25" customWidth="1" min="6" max="6"/>
    <col width="25" customWidth="1" min="7" max="7"/>
    <col width="25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1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20" customWidth="1" min="55" max="55"/>
  </cols>
  <sheetData>
    <row r="1">
      <c r="A1" s="8" t="inlineStr">
        <is>
          <t>Date</t>
        </is>
      </c>
      <c r="B1" s="8" t="inlineStr">
        <is>
          <t>Day</t>
        </is>
      </c>
      <c r="C1" s="8" t="inlineStr">
        <is>
          <t>Week</t>
        </is>
      </c>
      <c r="D1" s="8" t="inlineStr">
        <is>
          <t>Quarter</t>
        </is>
      </c>
      <c r="E1" s="8" t="inlineStr">
        <is>
          <t>Today's Message</t>
        </is>
      </c>
      <c r="F1" s="8" t="inlineStr">
        <is>
          <t>Goal 1</t>
        </is>
      </c>
      <c r="G1" s="8" t="inlineStr">
        <is>
          <t>Goal 2</t>
        </is>
      </c>
      <c r="H1" s="8" t="inlineStr">
        <is>
          <t>Goal 3</t>
        </is>
      </c>
      <c r="I1" s="8" t="inlineStr">
        <is>
          <t>Task 1</t>
        </is>
      </c>
      <c r="J1" s="8" t="inlineStr">
        <is>
          <t>Task 1 Done</t>
        </is>
      </c>
      <c r="K1" s="8" t="inlineStr">
        <is>
          <t>Task 2</t>
        </is>
      </c>
      <c r="L1" s="8" t="inlineStr">
        <is>
          <t>Task 2 Done</t>
        </is>
      </c>
      <c r="M1" s="8" t="inlineStr">
        <is>
          <t>Task 3</t>
        </is>
      </c>
      <c r="N1" s="8" t="inlineStr">
        <is>
          <t>Task 3 Done</t>
        </is>
      </c>
      <c r="O1" s="8" t="inlineStr">
        <is>
          <t>Reach Out 1</t>
        </is>
      </c>
      <c r="P1" s="8" t="inlineStr">
        <is>
          <t>Reach Out 2</t>
        </is>
      </c>
      <c r="Q1" s="8" t="inlineStr">
        <is>
          <t>Reach Out 3</t>
        </is>
      </c>
      <c r="R1" s="8" t="inlineStr">
        <is>
          <t>Prompt 1</t>
        </is>
      </c>
      <c r="S1" s="8" t="inlineStr">
        <is>
          <t>Prompt 2</t>
        </is>
      </c>
      <c r="T1" s="8" t="inlineStr">
        <is>
          <t>Prompt 3</t>
        </is>
      </c>
      <c r="U1" s="8" t="inlineStr">
        <is>
          <t>Prompt 4</t>
        </is>
      </c>
      <c r="V1" s="8" t="inlineStr">
        <is>
          <t>Prompt 5</t>
        </is>
      </c>
      <c r="W1" s="8" t="inlineStr">
        <is>
          <t>Prompt 6</t>
        </is>
      </c>
      <c r="X1" s="8" t="inlineStr">
        <is>
          <t>Prompt 7</t>
        </is>
      </c>
      <c r="Y1" s="8" t="inlineStr">
        <is>
          <t>Prompt 8</t>
        </is>
      </c>
      <c r="Z1" s="8" t="inlineStr">
        <is>
          <t>Prompt 9</t>
        </is>
      </c>
      <c r="AA1" s="8" t="inlineStr">
        <is>
          <t>Prompt 10</t>
        </is>
      </c>
      <c r="AB1" s="8" t="inlineStr">
        <is>
          <t>Prompt 11</t>
        </is>
      </c>
      <c r="AC1" s="8" t="inlineStr">
        <is>
          <t>Clarity</t>
        </is>
      </c>
      <c r="AD1" s="8" t="inlineStr">
        <is>
          <t>Energy</t>
        </is>
      </c>
      <c r="AE1" s="8" t="inlineStr">
        <is>
          <t>Necessity</t>
        </is>
      </c>
      <c r="AF1" s="8" t="inlineStr">
        <is>
          <t>Productivity</t>
        </is>
      </c>
      <c r="AG1" s="8" t="inlineStr">
        <is>
          <t>Influence</t>
        </is>
      </c>
      <c r="AH1" s="8" t="inlineStr">
        <is>
          <t>Courage</t>
        </is>
      </c>
      <c r="AI1" s="8" t="inlineStr">
        <is>
          <t>Overall Score</t>
        </is>
      </c>
      <c r="AJ1" s="8" t="inlineStr">
        <is>
          <t>Money Progress</t>
        </is>
      </c>
      <c r="AK1" s="8" t="inlineStr">
        <is>
          <t>Health Progress</t>
        </is>
      </c>
      <c r="AL1" s="8" t="inlineStr">
        <is>
          <t>Career Progress</t>
        </is>
      </c>
      <c r="AM1" s="8" t="inlineStr">
        <is>
          <t>Creative Progress</t>
        </is>
      </c>
      <c r="AN1" s="8" t="inlineStr">
        <is>
          <t>Love Progress</t>
        </is>
      </c>
      <c r="AO1" s="8" t="inlineStr">
        <is>
          <t>Inner Progress</t>
        </is>
      </c>
      <c r="AP1" s="8" t="inlineStr">
        <is>
          <t>Money Notes</t>
        </is>
      </c>
      <c r="AQ1" s="8" t="inlineStr">
        <is>
          <t>Health Notes</t>
        </is>
      </c>
      <c r="AR1" s="8" t="inlineStr">
        <is>
          <t>Career Notes</t>
        </is>
      </c>
      <c r="AS1" s="8" t="inlineStr">
        <is>
          <t>Creative Notes</t>
        </is>
      </c>
      <c r="AT1" s="8" t="inlineStr">
        <is>
          <t>Love Notes</t>
        </is>
      </c>
      <c r="AU1" s="8" t="inlineStr">
        <is>
          <t>Inner Notes</t>
        </is>
      </c>
      <c r="AV1" s="8" t="inlineStr">
        <is>
          <t>Path A %</t>
        </is>
      </c>
      <c r="AW1" s="8" t="inlineStr">
        <is>
          <t>Win 1</t>
        </is>
      </c>
      <c r="AX1" s="8" t="inlineStr">
        <is>
          <t>Win 2</t>
        </is>
      </c>
      <c r="AY1" s="8" t="inlineStr">
        <is>
          <t>Win 3</t>
        </is>
      </c>
      <c r="AZ1" s="8" t="inlineStr">
        <is>
          <t>Improvement</t>
        </is>
      </c>
      <c r="BA1" s="8" t="inlineStr">
        <is>
          <t>Gratitude</t>
        </is>
      </c>
      <c r="BB1" s="8" t="inlineStr">
        <is>
          <t>Tomorrow Priority</t>
        </is>
      </c>
      <c r="BC1" s="8" t="inlineStr">
        <is>
          <t>Timestamp</t>
        </is>
      </c>
    </row>
    <row r="2">
      <c r="A2" t="inlineStr">
        <is>
          <t>2026-01-05</t>
        </is>
      </c>
      <c r="B2" t="inlineStr">
        <is>
          <t>Monday</t>
        </is>
      </c>
      <c r="C2" t="n">
        <v>2</v>
      </c>
      <c r="D2" t="inlineStr">
        <is>
          <t>Q1</t>
        </is>
      </c>
      <c r="AI2">
        <f>AVERAGE(AC2:AH2)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9" t="inlineStr">
        <is>
          <t>PERFORMANCE ANALYTICS</t>
        </is>
      </c>
    </row>
    <row r="4">
      <c r="B4" s="10" t="inlineStr">
        <is>
          <t>PERFORMANCE TRENDS (Last 30 Days)</t>
        </is>
      </c>
    </row>
    <row r="5">
      <c r="B5" s="11" t="inlineStr">
        <is>
          <t>Date</t>
        </is>
      </c>
      <c r="C5" s="11" t="inlineStr">
        <is>
          <t>Clarity</t>
        </is>
      </c>
      <c r="D5" s="11" t="inlineStr">
        <is>
          <t>Energy</t>
        </is>
      </c>
      <c r="E5" s="11" t="inlineStr">
        <is>
          <t>Necessity</t>
        </is>
      </c>
      <c r="F5" s="11" t="inlineStr">
        <is>
          <t>Productivity</t>
        </is>
      </c>
      <c r="G5" s="11" t="inlineStr">
        <is>
          <t>Influence</t>
        </is>
      </c>
      <c r="H5" s="11" t="inlineStr">
        <is>
          <t>Courage</t>
        </is>
      </c>
      <c r="I5" s="11" t="inlineStr">
        <is>
          <t>Overall</t>
        </is>
      </c>
    </row>
    <row r="6">
      <c r="B6">
        <f>'Daily Journal'!A2</f>
        <v/>
      </c>
      <c r="C6" t="inlineStr"/>
      <c r="D6" t="inlineStr"/>
      <c r="E6" t="inlineStr"/>
      <c r="F6" t="inlineStr"/>
      <c r="G6" t="inlineStr"/>
      <c r="H6" t="inlineStr"/>
      <c r="I6" t="inlineStr"/>
    </row>
    <row r="7">
      <c r="B7">
        <f>'Daily Journal'!A3</f>
        <v/>
      </c>
      <c r="C7" t="inlineStr"/>
      <c r="D7" t="inlineStr"/>
      <c r="E7" t="inlineStr"/>
      <c r="F7" t="inlineStr"/>
      <c r="G7" t="inlineStr"/>
      <c r="H7" t="inlineStr"/>
      <c r="I7" t="inlineStr"/>
    </row>
    <row r="8">
      <c r="B8">
        <f>'Daily Journal'!A4</f>
        <v/>
      </c>
      <c r="C8" t="inlineStr"/>
      <c r="D8" t="inlineStr"/>
      <c r="E8" t="inlineStr"/>
      <c r="F8" t="inlineStr"/>
      <c r="G8" t="inlineStr"/>
      <c r="H8" t="inlineStr"/>
      <c r="I8" t="inlineStr"/>
    </row>
    <row r="9">
      <c r="B9">
        <f>'Daily Journal'!A5</f>
        <v/>
      </c>
      <c r="C9" t="inlineStr"/>
      <c r="D9" t="inlineStr"/>
      <c r="E9" t="inlineStr"/>
      <c r="F9" t="inlineStr"/>
      <c r="G9" t="inlineStr"/>
      <c r="H9" t="inlineStr"/>
      <c r="I9" t="inlineStr"/>
    </row>
    <row r="10">
      <c r="B10">
        <f>'Daily Journal'!A6</f>
        <v/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B11">
        <f>'Daily Journal'!A7</f>
        <v/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B12">
        <f>'Daily Journal'!A8</f>
        <v/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B13">
        <f>'Daily Journal'!A9</f>
        <v/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B14">
        <f>'Daily Journal'!A10</f>
        <v/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B15">
        <f>'Daily Journal'!A11</f>
        <v/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B16">
        <f>'Daily Journal'!A12</f>
        <v/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B17">
        <f>'Daily Journal'!A13</f>
        <v/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B18">
        <f>'Daily Journal'!A14</f>
        <v/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B19">
        <f>'Daily Journal'!A15</f>
        <v/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B20">
        <f>'Daily Journal'!A16</f>
        <v/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B21">
        <f>'Daily Journal'!A17</f>
        <v/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B22">
        <f>'Daily Journal'!A18</f>
        <v/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B23">
        <f>'Daily Journal'!A19</f>
        <v/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B24">
        <f>'Daily Journal'!A20</f>
        <v/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B25">
        <f>'Daily Journal'!A21</f>
        <v/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B26">
        <f>'Daily Journal'!A22</f>
        <v/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B27">
        <f>'Daily Journal'!A23</f>
        <v/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B28">
        <f>'Daily Journal'!A24</f>
        <v/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B29">
        <f>'Daily Journal'!A25</f>
        <v/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B30">
        <f>'Daily Journal'!A26</f>
        <v/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B31">
        <f>'Daily Journal'!A27</f>
        <v/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B32">
        <f>'Daily Journal'!A28</f>
        <v/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B33">
        <f>'Daily Journal'!A29</f>
        <v/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B34">
        <f>'Daily Journal'!A30</f>
        <v/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B35">
        <f>'Daily Journal'!A31</f>
        <v/>
      </c>
      <c r="C35" t="inlineStr"/>
      <c r="D35" t="inlineStr"/>
      <c r="E35" t="inlineStr"/>
      <c r="F35" t="inlineStr"/>
      <c r="G35" t="inlineStr"/>
      <c r="H35" t="inlineStr"/>
      <c r="I35" t="inlineStr"/>
    </row>
    <row r="38">
      <c r="B38" s="10" t="inlineStr">
        <is>
          <t>KEY METRICS</t>
        </is>
      </c>
    </row>
    <row r="39">
      <c r="B39" s="12" t="inlineStr">
        <is>
          <t>Average Daily Score:</t>
        </is>
      </c>
      <c r="C39" s="13">
        <f>AVERAGE(I6:I35)</f>
        <v/>
      </c>
    </row>
    <row r="40">
      <c r="B40" s="12" t="inlineStr">
        <is>
          <t>Best Performing Habit:</t>
        </is>
      </c>
      <c r="C40" s="13">
        <f>INDEX(C5:H5,MATCH(MAX(AVERAGE(C6:C35),AVERAGE(D6:D35),AVERAGE(E6:E35),AVERAGE(F6:F35),AVERAGE(G6:G35),AVERAGE(H6:H35)),{AVERAGE(C6:C35),AVERAGE(D6:D35),AVERAGE(E6:E35),AVERAGE(F6:F35),AVERAGE(G6:G35),AVERAGE(H6:H35)},0))</f>
        <v/>
      </c>
    </row>
    <row r="41">
      <c r="B41" s="12" t="inlineStr">
        <is>
          <t>Improvement Opportunity:</t>
        </is>
      </c>
      <c r="C41" s="13">
        <f>INDEX(C5:H5,MATCH(MIN(AVERAGE(C6:C35),AVERAGE(D6:D35),AVERAGE(E6:E35),AVERAGE(F6:F35),AVERAGE(G6:G35),AVERAGE(H6:H35)),{AVERAGE(C6:C35),AVERAGE(D6:D35),AVERAGE(E6:E35),AVERAGE(F6:F35),AVERAGE(G6:G35),AVERAGE(H6:H35)},0))</f>
        <v/>
      </c>
    </row>
    <row r="42">
      <c r="B42" s="12" t="inlineStr">
        <is>
          <t>Consistency Score:</t>
        </is>
      </c>
      <c r="C42" s="13">
        <f>COUNTA(B6:B35)/30*100</f>
        <v/>
      </c>
    </row>
    <row r="43">
      <c r="B43" s="12" t="inlineStr">
        <is>
          <t>Weekly Trend:</t>
        </is>
      </c>
      <c r="C43" s="13">
        <f>IF(AVERAGE(I6:I12)&gt;AVERAGE(I13:I19),"Improving","Needs Focus")</f>
        <v/>
      </c>
    </row>
    <row r="46">
      <c r="B46" s="10" t="inlineStr">
        <is>
          <t>TREND ANALYSIS</t>
        </is>
      </c>
    </row>
    <row r="47">
      <c r="B47" t="inlineStr">
        <is>
          <t>Energy vs Productivity Correlation:</t>
        </is>
      </c>
      <c r="C47">
        <f>CORREL(D6:D35,F6:F35)</f>
        <v/>
      </c>
    </row>
    <row r="48">
      <c r="B48" t="inlineStr">
        <is>
          <t>Clarity vs Overall Correlation:</t>
        </is>
      </c>
      <c r="C48">
        <f>CORREL(C6:C35,I6:I35)</f>
        <v/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</cols>
  <sheetData>
    <row r="2">
      <c r="B2" s="9" t="inlineStr">
        <is>
          <t>AI-POWERED INSIGHTS</t>
        </is>
      </c>
    </row>
    <row r="4">
      <c r="B4" s="10" t="inlineStr">
        <is>
          <t>PERSONALIZED RECOMMENDATIONS</t>
        </is>
      </c>
    </row>
    <row r="5">
      <c r="B5" s="14" t="inlineStr">
        <is>
          <t>Performance Optimization</t>
        </is>
      </c>
      <c r="C5" s="12">
        <f>IF('Performance Analytics'!C39&lt;7,"Focus on improving your weakest habit area","Maintain your strong performance patterns")</f>
        <v/>
      </c>
    </row>
    <row r="6">
      <c r="B6" s="14" t="inlineStr">
        <is>
          <t>Stress Management</t>
        </is>
      </c>
      <c r="C6" s="12">
        <f>IF('Daily Journal'!AD2&lt;5,"Consider energy management techniques - your energy score is low","Your energy levels are healthy - maintain current practices")</f>
        <v/>
      </c>
    </row>
    <row r="7">
      <c r="B7" s="14" t="inlineStr">
        <is>
          <t>Leadership Effectiveness</t>
        </is>
      </c>
      <c r="C7" s="12">
        <f>IF('Daily Journal'!AG2&lt;6,"Look for opportunities to influence and lead others","Your leadership impact is strong - continue mentoring")</f>
        <v/>
      </c>
    </row>
    <row r="8">
      <c r="B8" s="14" t="inlineStr">
        <is>
          <t>Work-Life Balance</t>
        </is>
      </c>
      <c r="C8" s="12">
        <f>IF(ABS('Daily Journal'!AV2-70)&gt;20,"Adjust your Path A/B balance toward the 70/30 target","Good balance between creative work and stability")</f>
        <v/>
      </c>
    </row>
    <row r="9">
      <c r="B9" s="14" t="inlineStr">
        <is>
          <t>Energy Management</t>
        </is>
      </c>
      <c r="C9" s="12">
        <f>IF('Daily Journal'!AD2&lt;'Daily Journal'!AC2,"Energy is lagging behind clarity - focus on physical wellness","Energy and clarity are well-aligned")</f>
        <v/>
      </c>
    </row>
    <row r="10">
      <c r="B10" s="14" t="inlineStr">
        <is>
          <t>Goal Achievement</t>
        </is>
      </c>
      <c r="C10" s="12">
        <f>IF(COUNTBLANK('Daily Journal'!F2:H2)&gt;0,"Set clear daily goals to improve focus","Goals are set - focus on execution")</f>
        <v/>
      </c>
    </row>
    <row r="13">
      <c r="B13" s="10" t="inlineStr">
        <is>
          <t>PATTERN RECOGNITION</t>
        </is>
      </c>
    </row>
    <row r="14">
      <c r="B14" s="15" t="inlineStr">
        <is>
          <t>Best Performance Days</t>
        </is>
      </c>
      <c r="C14" s="12" t="inlineStr">
        <is>
          <t>Track your highest-scoring days to identify optimal conditions</t>
        </is>
      </c>
    </row>
    <row r="15">
      <c r="B15" s="15" t="inlineStr">
        <is>
          <t>Energy Peak Times</t>
        </is>
      </c>
      <c r="C15" s="12" t="inlineStr">
        <is>
          <t>Note when your energy scores are highest</t>
        </is>
      </c>
    </row>
    <row r="16">
      <c r="B16" s="15" t="inlineStr">
        <is>
          <t>Stress Triggers</t>
        </is>
      </c>
      <c r="C16" s="12" t="inlineStr">
        <is>
          <t>Identify situations that correlate with low scores</t>
        </is>
      </c>
    </row>
    <row r="17">
      <c r="B17" s="15" t="inlineStr">
        <is>
          <t>Productivity Patterns</t>
        </is>
      </c>
      <c r="C17" s="12" t="inlineStr">
        <is>
          <t>Find which activities lead to highest productivity</t>
        </is>
      </c>
    </row>
    <row r="18">
      <c r="B18" s="15" t="inlineStr">
        <is>
          <t>Leadership Moments</t>
        </is>
      </c>
      <c r="C18" s="12" t="inlineStr">
        <is>
          <t>Document when you have the most influence</t>
        </is>
      </c>
    </row>
    <row r="21">
      <c r="B21" s="10" t="inlineStr">
        <is>
          <t>PREDICTIVE ANALYTICS</t>
        </is>
      </c>
    </row>
    <row r="22">
      <c r="B22" s="12" t="inlineStr">
        <is>
          <t>Based on your patterns, tomorrow you should:</t>
        </is>
      </c>
    </row>
    <row r="23">
      <c r="B23" s="12">
        <f>IF('Daily Journal'!AD2&lt;6,"1. Prioritize rest and recovery activities","1. Channel your high energy into bold action"))</f>
        <v/>
      </c>
    </row>
    <row r="24">
      <c r="B24" s="12">
        <f>IF('Daily Journal'!AC2&lt;6,"2. Start with a clarity-building morning routine","2. Dive into your most important creative work"))</f>
        <v/>
      </c>
    </row>
    <row r="25">
      <c r="B25" s="12">
        <f>IF('Daily Journal'!AG2&lt;6,"3. Schedule time for meaningful connections","3. Lead a meeting or mentor someone"))</f>
        <v/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5" customWidth="1" min="4" max="4"/>
    <col width="12" customWidth="1" min="5" max="5"/>
    <col width="15" customWidth="1" min="6" max="6"/>
    <col width="35" customWidth="1" min="7" max="7"/>
  </cols>
  <sheetData>
    <row r="2">
      <c r="B2" s="9" t="inlineStr">
        <is>
          <t>2026 VISION BOARD TRACKER</t>
        </is>
      </c>
    </row>
    <row r="4">
      <c r="B4" s="16" t="inlineStr">
        <is>
          <t>Domain</t>
        </is>
      </c>
      <c r="C4" s="16" t="inlineStr">
        <is>
          <t>Target</t>
        </is>
      </c>
      <c r="D4" s="16" t="inlineStr">
        <is>
          <t>Current</t>
        </is>
      </c>
      <c r="E4" s="16" t="inlineStr">
        <is>
          <t>Progress %</t>
        </is>
      </c>
      <c r="F4" s="16" t="inlineStr">
        <is>
          <t>Last Updated</t>
        </is>
      </c>
      <c r="G4" s="16" t="inlineStr">
        <is>
          <t>Notes</t>
        </is>
      </c>
    </row>
    <row r="5">
      <c r="B5" s="13" t="inlineStr">
        <is>
          <t>Money &amp; Finance</t>
        </is>
      </c>
      <c r="C5" t="inlineStr">
        <is>
          <t>$15K/month revenue</t>
        </is>
      </c>
      <c r="D5" t="inlineStr">
        <is>
          <t>$0</t>
        </is>
      </c>
      <c r="E5" t="inlineStr">
        <is>
          <t>0%</t>
        </is>
      </c>
      <c r="F5" t="inlineStr"/>
      <c r="G5" t="inlineStr">
        <is>
          <t>5 -&gt; 10 -&gt; 20 clients</t>
        </is>
      </c>
    </row>
    <row r="6">
      <c r="B6" s="14" t="inlineStr">
        <is>
          <t>Health &amp; Fitness</t>
        </is>
      </c>
      <c r="C6" t="inlineStr">
        <is>
          <t>3x/week, 185-197 lbs</t>
        </is>
      </c>
      <c r="D6" t="inlineStr">
        <is>
          <t>0x/week</t>
        </is>
      </c>
      <c r="E6" t="inlineStr">
        <is>
          <t>0%</t>
        </is>
      </c>
      <c r="F6" t="inlineStr"/>
      <c r="G6" t="inlineStr">
        <is>
          <t>Strength training focus</t>
        </is>
      </c>
    </row>
    <row r="7">
      <c r="B7" s="15" t="inlineStr">
        <is>
          <t>Career/BCCS</t>
        </is>
      </c>
      <c r="C7" t="inlineStr">
        <is>
          <t>Excellence + Legacy</t>
        </is>
      </c>
      <c r="D7" t="inlineStr">
        <is>
          <t>In Progress</t>
        </is>
      </c>
      <c r="E7" t="inlineStr">
        <is>
          <t>0%</t>
        </is>
      </c>
      <c r="F7" t="inlineStr"/>
      <c r="G7" t="inlineStr">
        <is>
          <t>Build automation systems</t>
        </is>
      </c>
    </row>
    <row r="8">
      <c r="B8" s="17" t="inlineStr">
        <is>
          <t>Creative Ventures</t>
        </is>
      </c>
      <c r="C8" t="inlineStr">
        <is>
          <t>4 books, 5K followers</t>
        </is>
      </c>
      <c r="D8" t="inlineStr">
        <is>
          <t>0 books</t>
        </is>
      </c>
      <c r="E8" t="inlineStr">
        <is>
          <t>0%</t>
        </is>
      </c>
      <c r="F8" t="inlineStr"/>
      <c r="G8" t="inlineStr">
        <is>
          <t>SHIP IT! Path A focus</t>
        </is>
      </c>
    </row>
    <row r="9">
      <c r="B9" s="18" t="inlineStr">
        <is>
          <t>Love &amp; Relationship</t>
        </is>
      </c>
      <c r="C9" t="inlineStr">
        <is>
          <t>12 date nights</t>
        </is>
      </c>
      <c r="D9" t="inlineStr">
        <is>
          <t>0 dates</t>
        </is>
      </c>
      <c r="E9" t="inlineStr">
        <is>
          <t>0%</t>
        </is>
      </c>
      <c r="F9" t="inlineStr"/>
      <c r="G9" t="inlineStr">
        <is>
          <t>Presence over performance</t>
        </is>
      </c>
    </row>
    <row r="10">
      <c r="B10" s="19" t="inlineStr">
        <is>
          <t>Inner Peace</t>
        </is>
      </c>
      <c r="C10" t="inlineStr">
        <is>
          <t>Daily practice</t>
        </is>
      </c>
      <c r="D10" t="inlineStr">
        <is>
          <t>0%</t>
        </is>
      </c>
      <c r="E10" t="inlineStr">
        <is>
          <t>0%</t>
        </is>
      </c>
      <c r="F10" t="inlineStr"/>
      <c r="G10" t="inlineStr">
        <is>
          <t>The spiral continues</t>
        </is>
      </c>
    </row>
    <row r="13">
      <c r="B13" s="10" t="inlineStr">
        <is>
          <t>PATH ALLOCATION TRACKING</t>
        </is>
      </c>
    </row>
    <row r="14">
      <c r="B14" t="inlineStr">
        <is>
          <t>Weekly Average - Path A (SHIP IT!):</t>
        </is>
      </c>
      <c r="C14">
        <f>AVERAGE('Daily Journal'!AV2:AV8)</f>
        <v/>
      </c>
      <c r="D14" t="inlineStr">
        <is>
          <t>%</t>
        </is>
      </c>
    </row>
    <row r="15">
      <c r="B15" t="inlineStr">
        <is>
          <t>Weekly Average - Path B (Stability):</t>
        </is>
      </c>
      <c r="C15">
        <f>100-C14</f>
        <v/>
      </c>
      <c r="D15" t="inlineStr">
        <is>
          <t>%</t>
        </is>
      </c>
    </row>
    <row r="16">
      <c r="B16" t="inlineStr">
        <is>
          <t>Target Split:</t>
        </is>
      </c>
      <c r="C16" t="inlineStr">
        <is>
          <t>70% / 30%</t>
        </is>
      </c>
    </row>
    <row r="17">
      <c r="B17" t="inlineStr">
        <is>
          <t>Variance from Target:</t>
        </is>
      </c>
      <c r="C17">
        <f>ABS(C14-70)</f>
        <v/>
      </c>
      <c r="D17" t="inlineStr">
        <is>
          <t>% off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9" t="inlineStr">
        <is>
          <t>WEEKLY REVIEW</t>
        </is>
      </c>
    </row>
    <row r="4">
      <c r="B4" t="inlineStr">
        <is>
          <t>Week Number:</t>
        </is>
      </c>
      <c r="C4" s="10" t="n">
        <v>2</v>
      </c>
    </row>
    <row r="6">
      <c r="B6" s="10" t="inlineStr">
        <is>
          <t>WEEKLY WINS (Top 3)</t>
        </is>
      </c>
    </row>
    <row r="7">
      <c r="B7" t="inlineStr">
        <is>
          <t>1.</t>
        </is>
      </c>
      <c r="C7" t="inlineStr"/>
    </row>
    <row r="8">
      <c r="B8" t="inlineStr">
        <is>
          <t>2.</t>
        </is>
      </c>
      <c r="C8" t="inlineStr"/>
    </row>
    <row r="9">
      <c r="B9" t="inlineStr">
        <is>
          <t>3.</t>
        </is>
      </c>
      <c r="C9" t="inlineStr"/>
    </row>
    <row r="11">
      <c r="B11" s="10" t="inlineStr">
        <is>
          <t>WEEKLY CHALLENGES</t>
        </is>
      </c>
    </row>
    <row r="12">
      <c r="C12" t="inlineStr"/>
    </row>
    <row r="14">
      <c r="B14" s="10" t="inlineStr">
        <is>
          <t>HABIT SCORE AVERAGES</t>
        </is>
      </c>
    </row>
    <row r="15">
      <c r="B15" s="20" t="inlineStr"/>
      <c r="C15" s="20" t="inlineStr">
        <is>
          <t>Mon</t>
        </is>
      </c>
      <c r="D15" s="20" t="inlineStr">
        <is>
          <t>Tue</t>
        </is>
      </c>
      <c r="E15" s="20" t="inlineStr">
        <is>
          <t>Wed</t>
        </is>
      </c>
      <c r="F15" s="20" t="inlineStr">
        <is>
          <t>Thu</t>
        </is>
      </c>
      <c r="G15" s="20" t="inlineStr">
        <is>
          <t>Fri</t>
        </is>
      </c>
      <c r="H15" s="20" t="inlineStr">
        <is>
          <t>Sat</t>
        </is>
      </c>
      <c r="I15" s="20" t="inlineStr">
        <is>
          <t>Sun</t>
        </is>
      </c>
      <c r="J15" s="20" t="inlineStr">
        <is>
          <t>Avg</t>
        </is>
      </c>
    </row>
    <row r="16">
      <c r="B16" s="12" t="inlineStr">
        <is>
          <t>Clarity</t>
        </is>
      </c>
      <c r="J16">
        <f>AVERAGE(C16:I16)</f>
        <v/>
      </c>
    </row>
    <row r="17">
      <c r="B17" s="12" t="inlineStr">
        <is>
          <t>Energy</t>
        </is>
      </c>
      <c r="J17">
        <f>AVERAGE(C17:I17)</f>
        <v/>
      </c>
    </row>
    <row r="18">
      <c r="B18" s="12" t="inlineStr">
        <is>
          <t>Necessity</t>
        </is>
      </c>
      <c r="J18">
        <f>AVERAGE(C18:I18)</f>
        <v/>
      </c>
    </row>
    <row r="19">
      <c r="B19" s="12" t="inlineStr">
        <is>
          <t>Productivity</t>
        </is>
      </c>
      <c r="J19">
        <f>AVERAGE(C19:I19)</f>
        <v/>
      </c>
    </row>
    <row r="20">
      <c r="B20" s="12" t="inlineStr">
        <is>
          <t>Influence</t>
        </is>
      </c>
      <c r="J20">
        <f>AVERAGE(C20:I20)</f>
        <v/>
      </c>
    </row>
    <row r="21">
      <c r="B21" s="12" t="inlineStr">
        <is>
          <t>Courage</t>
        </is>
      </c>
      <c r="J21">
        <f>AVERAGE(C21:I21)</f>
        <v/>
      </c>
    </row>
    <row r="22">
      <c r="B22" s="12" t="inlineStr">
        <is>
          <t>Overall</t>
        </is>
      </c>
      <c r="J22">
        <f>AVERAGE(C22:I22)</f>
        <v/>
      </c>
    </row>
    <row r="25">
      <c r="B25" s="10" t="inlineStr">
        <is>
          <t>INSIGHTS FOR NEXT WEEK</t>
        </is>
      </c>
    </row>
    <row r="26">
      <c r="C26">
        <f>IF(J22&lt;7,"Focus on improving overall performance","Maintain momentum and push for excellence")</f>
        <v/>
      </c>
    </row>
    <row r="28">
      <c r="B28" s="10" t="inlineStr">
        <is>
          <t>COMMITMENT FOR NEXT WEEK</t>
        </is>
      </c>
    </row>
    <row r="29">
      <c r="C29" t="inlineStr"/>
    </row>
  </sheetData>
  <mergeCells count="5">
    <mergeCell ref="C8:E8"/>
    <mergeCell ref="C9:E9"/>
    <mergeCell ref="C29:F29"/>
    <mergeCell ref="C7:E7"/>
    <mergeCell ref="C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2">
      <c r="B2" s="9" t="inlineStr">
        <is>
          <t>MONTHLY REVIEW</t>
        </is>
      </c>
    </row>
    <row r="4">
      <c r="B4" t="inlineStr">
        <is>
          <t>Month:</t>
        </is>
      </c>
      <c r="C4" s="10" t="inlineStr">
        <is>
          <t>January 2026</t>
        </is>
      </c>
    </row>
    <row r="6">
      <c r="B6" s="10" t="inlineStr">
        <is>
          <t>MONTHLY SCORECARD</t>
        </is>
      </c>
    </row>
    <row r="7">
      <c r="B7" s="12" t="inlineStr">
        <is>
          <t>Average Daily Performance:</t>
        </is>
      </c>
      <c r="C7" s="13">
        <f>AVERAGE('Daily Journal'!AI2:AI32)</f>
        <v/>
      </c>
      <c r="D7" t="inlineStr">
        <is>
          <t>%</t>
        </is>
      </c>
    </row>
    <row r="8">
      <c r="B8" s="12" t="inlineStr">
        <is>
          <t>Consistency (days completed):</t>
        </is>
      </c>
      <c r="C8" s="13">
        <f>COUNTA('Daily Journal'!A2:A32)</f>
        <v/>
      </c>
      <c r="D8" t="inlineStr">
        <is>
          <t>/31</t>
        </is>
      </c>
    </row>
    <row r="9">
      <c r="B9" s="12" t="inlineStr">
        <is>
          <t>Best Week:</t>
        </is>
      </c>
      <c r="C9" s="13" t="inlineStr">
        <is>
          <t>Week 1</t>
        </is>
      </c>
      <c r="D9" t="inlineStr"/>
    </row>
    <row r="10">
      <c r="B10" s="12" t="inlineStr">
        <is>
          <t>Improvement from Last Month:</t>
        </is>
      </c>
      <c r="C10" s="13" t="inlineStr">
        <is>
          <t>+0</t>
        </is>
      </c>
      <c r="D10" t="inlineStr">
        <is>
          <t>%</t>
        </is>
      </c>
    </row>
    <row r="13">
      <c r="B13" s="10" t="inlineStr">
        <is>
          <t>DOMAIN PROGRESS</t>
        </is>
      </c>
    </row>
    <row r="14">
      <c r="B14" s="12" t="inlineStr">
        <is>
          <t>Money &amp; Finance</t>
        </is>
      </c>
      <c r="C14" t="inlineStr">
        <is>
          <t>0%</t>
        </is>
      </c>
      <c r="D14" t="inlineStr">
        <is>
          <t>of monthly target</t>
        </is>
      </c>
    </row>
    <row r="15">
      <c r="B15" s="12" t="inlineStr">
        <is>
          <t>Health &amp; Fitness</t>
        </is>
      </c>
      <c r="C15" t="inlineStr">
        <is>
          <t>0%</t>
        </is>
      </c>
      <c r="D15" t="inlineStr">
        <is>
          <t>of monthly target</t>
        </is>
      </c>
    </row>
    <row r="16">
      <c r="B16" s="12" t="inlineStr">
        <is>
          <t>Career/BCCS</t>
        </is>
      </c>
      <c r="C16" t="inlineStr">
        <is>
          <t>0%</t>
        </is>
      </c>
      <c r="D16" t="inlineStr">
        <is>
          <t>of monthly target</t>
        </is>
      </c>
    </row>
    <row r="17">
      <c r="B17" s="12" t="inlineStr">
        <is>
          <t>Creative Ventures</t>
        </is>
      </c>
      <c r="C17" t="inlineStr">
        <is>
          <t>0%</t>
        </is>
      </c>
      <c r="D17" t="inlineStr">
        <is>
          <t>of monthly target</t>
        </is>
      </c>
    </row>
    <row r="18">
      <c r="B18" s="12" t="inlineStr">
        <is>
          <t>Love &amp; Relationship</t>
        </is>
      </c>
      <c r="C18" t="inlineStr">
        <is>
          <t>0%</t>
        </is>
      </c>
      <c r="D18" t="inlineStr">
        <is>
          <t>of monthly target</t>
        </is>
      </c>
    </row>
    <row r="19">
      <c r="B19" s="12" t="inlineStr">
        <is>
          <t>Inner Peace</t>
        </is>
      </c>
      <c r="C19" t="inlineStr">
        <is>
          <t>0%</t>
        </is>
      </c>
      <c r="D19" t="inlineStr">
        <is>
          <t>of monthly target</t>
        </is>
      </c>
    </row>
    <row r="22">
      <c r="B22" s="10" t="inlineStr">
        <is>
          <t>WINS OF THE MONTH</t>
        </is>
      </c>
    </row>
    <row r="23">
      <c r="B23" t="inlineStr">
        <is>
          <t>1.</t>
        </is>
      </c>
      <c r="C23" t="inlineStr"/>
    </row>
    <row r="24">
      <c r="B24" t="inlineStr">
        <is>
          <t>2.</t>
        </is>
      </c>
      <c r="C24" t="inlineStr"/>
    </row>
    <row r="25">
      <c r="B25" t="inlineStr">
        <is>
          <t>3.</t>
        </is>
      </c>
      <c r="C25" t="inlineStr"/>
    </row>
    <row r="28">
      <c r="B28" s="10" t="inlineStr">
        <is>
          <t>FOCUS AREAS FOR NEXT MONTH</t>
        </is>
      </c>
    </row>
    <row r="29">
      <c r="C29">
        <f>'AI Insights'!C6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</cols>
  <sheetData>
    <row r="2">
      <c r="B2" s="9" t="inlineStr">
        <is>
          <t>SETTINGS &amp; REFERENCE</t>
        </is>
      </c>
    </row>
    <row r="4">
      <c r="B4" s="10" t="inlineStr">
        <is>
          <t>USER SETTINGS</t>
        </is>
      </c>
    </row>
    <row r="5">
      <c r="B5" s="12" t="inlineStr">
        <is>
          <t>Name:</t>
        </is>
      </c>
      <c r="C5" s="21" t="inlineStr">
        <is>
          <t>Joshua Fraser, Ed.D.</t>
        </is>
      </c>
    </row>
    <row r="6">
      <c r="B6" s="12" t="inlineStr">
        <is>
          <t>Start Date:</t>
        </is>
      </c>
      <c r="C6" s="21" t="inlineStr">
        <is>
          <t>January 1, 2026</t>
        </is>
      </c>
    </row>
    <row r="7">
      <c r="B7" s="12" t="inlineStr">
        <is>
          <t>Time Zone:</t>
        </is>
      </c>
      <c r="C7" s="21" t="inlineStr">
        <is>
          <t>America/Chicago</t>
        </is>
      </c>
    </row>
    <row r="10">
      <c r="B10" s="10" t="inlineStr">
        <is>
          <t>SCORING REFERENCE</t>
        </is>
      </c>
    </row>
    <row r="11">
      <c r="B11" s="22" t="inlineStr">
        <is>
          <t>1-4:</t>
        </is>
      </c>
      <c r="C11" s="12" t="inlineStr">
        <is>
          <t>Needs Work (Red)</t>
        </is>
      </c>
    </row>
    <row r="12">
      <c r="B12" s="23" t="inlineStr">
        <is>
          <t>5-6:</t>
        </is>
      </c>
      <c r="C12" s="12" t="inlineStr">
        <is>
          <t>Making Progress (Yellow)</t>
        </is>
      </c>
    </row>
    <row r="13">
      <c r="B13" s="24" t="inlineStr">
        <is>
          <t>7-8:</t>
        </is>
      </c>
      <c r="C13" s="12" t="inlineStr">
        <is>
          <t>On Track (Green)</t>
        </is>
      </c>
    </row>
    <row r="14">
      <c r="B14" s="13" t="inlineStr">
        <is>
          <t>9-10:</t>
        </is>
      </c>
      <c r="C14" s="12" t="inlineStr">
        <is>
          <t>Exceptional (Gold)</t>
        </is>
      </c>
    </row>
    <row r="17">
      <c r="B17" s="10" t="inlineStr">
        <is>
          <t>DOMAIN DEFINITIONS</t>
        </is>
      </c>
    </row>
    <row r="18">
      <c r="B18" s="14" t="inlineStr">
        <is>
          <t>Money &amp; Finance:</t>
        </is>
      </c>
      <c r="C18" s="12" t="inlineStr">
        <is>
          <t>$15K/mo revenue, 20 clients, debt freedom</t>
        </is>
      </c>
    </row>
    <row r="19">
      <c r="B19" s="14" t="inlineStr">
        <is>
          <t>Health &amp; Fitness:</t>
        </is>
      </c>
      <c r="C19" s="12" t="inlineStr">
        <is>
          <t>3x/week strength training, 185-197 lbs</t>
        </is>
      </c>
    </row>
    <row r="20">
      <c r="B20" s="14" t="inlineStr">
        <is>
          <t>Career/BCCS:</t>
        </is>
      </c>
      <c r="C20" s="12" t="inlineStr">
        <is>
          <t>Excellence while transitioning, legacy systems</t>
        </is>
      </c>
    </row>
    <row r="21">
      <c r="B21" s="14" t="inlineStr">
        <is>
          <t>Creative Ventures:</t>
        </is>
      </c>
      <c r="C21" s="12" t="inlineStr">
        <is>
          <t>4 books shipped, 5K followers, 2K subscribers</t>
        </is>
      </c>
    </row>
    <row r="22">
      <c r="B22" s="14" t="inlineStr">
        <is>
          <t>Love &amp; Relationship:</t>
        </is>
      </c>
      <c r="C22" s="12" t="inlineStr">
        <is>
          <t>12 date nights, presence over performance</t>
        </is>
      </c>
    </row>
    <row r="23">
      <c r="B23" s="14" t="inlineStr">
        <is>
          <t>Inner Peace:</t>
        </is>
      </c>
      <c r="C23" s="12" t="inlineStr">
        <is>
          <t>Daily practice, the spiral continues</t>
        </is>
      </c>
    </row>
    <row r="26">
      <c r="B26" s="10" t="inlineStr">
        <is>
          <t>PATH ALLOCATION</t>
        </is>
      </c>
    </row>
    <row r="27">
      <c r="B27" t="inlineStr">
        <is>
          <t>Path A (SHIP IT!):</t>
        </is>
      </c>
      <c r="C27" t="inlineStr">
        <is>
          <t>70% - Creative ventures, platform, books</t>
        </is>
      </c>
    </row>
    <row r="28">
      <c r="B28" t="inlineStr">
        <is>
          <t>Path B (Stability):</t>
        </is>
      </c>
      <c r="C28" t="inlineStr">
        <is>
          <t>30% - BCCS excellence, family,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2026-01-05T13:26:28Z</dcterms:created>
  <dcterms:modified xmlns:dcterms="http://purl.org/dc/terms/" xmlns:xsi="http://www.w3.org/2001/XMLSchema-instance" xsi:type="dcterms:W3CDTF">2026-01-05T13:26:28Z</dcterms:modified>
</cp:coreProperties>
</file>